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<sst xmlns="http://schemas.openxmlformats.org/spreadsheetml/2006/main" count="22" uniqueCount="18">
  <si>
    <t>True Buyer</t>
  </si>
  <si>
    <t>False Buyer</t>
  </si>
  <si>
    <t>False Non-Buyer</t>
  </si>
  <si>
    <t>Buyer</t>
  </si>
  <si>
    <t>True Non-Buyer</t>
  </si>
  <si>
    <t>Non-Buyer</t>
  </si>
  <si>
    <t>No of Users</t>
  </si>
  <si>
    <t>Buyer Users</t>
  </si>
  <si>
    <t>Non-Buyer Users</t>
  </si>
  <si>
    <t>Params</t>
  </si>
  <si>
    <t>%</t>
  </si>
  <si>
    <t>Non-buyer</t>
  </si>
  <si>
    <t>Macro AVG</t>
  </si>
  <si>
    <t>Weighted AVG</t>
  </si>
  <si>
    <t>Precision</t>
  </si>
  <si>
    <t>Recall</t>
  </si>
  <si>
    <t>F1 Score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</si>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</sst>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b/>
      <color rgb="FF6D9EEB"/>
      <name val="Arial"/>
    </font>
    <font>
      <color rgb="FF000000"/>
      <name val="Arial"/>
    </font>
    <font/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wrapText="1"/>
    </xf>
    <xf borderId="2" fillId="0" fontId="5" numFmtId="0" xfId="0" applyAlignment="1" applyBorder="1" applyFont="1">
      <alignment horizontal="left" readingOrder="0" shrinkToFit="0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.75"/>
    <col customWidth="1" min="4" max="4" width="9.13"/>
    <col customWidth="1" min="5" max="5" width="12.63"/>
    <col customWidth="1" min="6" max="6" width="4.25"/>
    <col customWidth="1" min="7" max="7" width="11.25"/>
    <col customWidth="1" min="8" max="8" width="4.25"/>
    <col customWidth="1" min="9" max="9" width="16.88"/>
    <col customWidth="1" min="10" max="10" width="6.13"/>
    <col customWidth="1" min="11" max="11" width="13.13"/>
    <col customWidth="1" min="12" max="12" width="4.25"/>
    <col customWidth="1" min="13" max="13" width="17.75"/>
  </cols>
  <sheetData>
    <row r="1">
      <c r="A1" s="1" t="s">
        <v>0</v>
      </c>
      <c r="B1" s="1">
        <v>40.0</v>
      </c>
      <c r="N1" s="2"/>
    </row>
    <row r="2">
      <c r="A2" s="1" t="s">
        <v>1</v>
      </c>
      <c r="B2" s="1">
        <v>45.0</v>
      </c>
    </row>
    <row r="3">
      <c r="A3" s="1" t="s">
        <v>2</v>
      </c>
      <c r="B3" s="1">
        <v>20.0</v>
      </c>
      <c r="N3" s="3" t="s">
        <v>3</v>
      </c>
      <c r="O3" s="4" t="str">
        <f>"True is "&amp;B1</f>
        <v>True is 40</v>
      </c>
      <c r="P3" s="4" t="str">
        <f>"False is "&amp;B2</f>
        <v>False is 45</v>
      </c>
    </row>
    <row r="4">
      <c r="A4" s="1" t="s">
        <v>4</v>
      </c>
      <c r="B4" s="1">
        <v>29.0</v>
      </c>
      <c r="N4" s="3" t="s">
        <v>5</v>
      </c>
      <c r="O4" s="4" t="str">
        <f>"False is "&amp;B3</f>
        <v>False is 20</v>
      </c>
      <c r="P4" s="4" t="str">
        <f>"True is "&amp;B4</f>
        <v>True is 29</v>
      </c>
    </row>
    <row r="5">
      <c r="A5" s="1" t="s">
        <v>6</v>
      </c>
      <c r="B5" s="1">
        <v>134.0</v>
      </c>
    </row>
    <row r="6">
      <c r="A6" s="1" t="s">
        <v>7</v>
      </c>
      <c r="B6" s="1">
        <v>85.0</v>
      </c>
    </row>
    <row r="7">
      <c r="A7" s="1" t="s">
        <v>8</v>
      </c>
      <c r="B7" s="1">
        <v>49.0</v>
      </c>
    </row>
    <row r="8">
      <c r="D8" s="5" t="s">
        <v>9</v>
      </c>
      <c r="E8" s="5" t="s">
        <v>3</v>
      </c>
      <c r="F8" s="5" t="s">
        <v>10</v>
      </c>
      <c r="G8" s="5" t="s">
        <v>11</v>
      </c>
      <c r="H8" s="5" t="s">
        <v>10</v>
      </c>
      <c r="I8" s="5" t="s">
        <v>12</v>
      </c>
      <c r="J8" s="5" t="s">
        <v>10</v>
      </c>
      <c r="K8" s="5" t="s">
        <v>13</v>
      </c>
      <c r="L8" s="5" t="s">
        <v>10</v>
      </c>
    </row>
    <row r="9">
      <c r="D9" s="6" t="s">
        <v>14</v>
      </c>
      <c r="E9" s="7" t="str">
        <f>"("&amp;B1&amp;"/("&amp;B1&amp;"+"&amp;B3&amp;"))"</f>
        <v>(40/(40+20))</v>
      </c>
      <c r="F9" s="7">
        <f>round((B1/(B1+B3)),2)</f>
        <v>0.67</v>
      </c>
      <c r="G9" s="7" t="str">
        <f>"("&amp;B4&amp;"/("&amp;B4&amp;"+"&amp;B2&amp;"))"</f>
        <v>(29/(29+45))</v>
      </c>
      <c r="H9" s="7">
        <f>round((B4/(B4+B2)),2)</f>
        <v>0.39</v>
      </c>
      <c r="I9" s="7" t="str">
        <f t="shared" ref="I9:I10" si="1">"("&amp;F9&amp;"+"&amp;H9&amp;")/2)"</f>
        <v>(0.67+0.39)/2)</v>
      </c>
      <c r="J9" s="7">
        <f t="shared" ref="J9:J10" si="2">round(((F9+H9)/2),2)</f>
        <v>0.53</v>
      </c>
      <c r="K9" s="7" t="str">
        <f>"(("&amp;F9&amp;"*"&amp;B6&amp;")/"&amp;B5&amp;")+(("&amp;H9&amp;"*"&amp;B7&amp;")/"&amp;B5&amp;")"</f>
        <v>((0.67*85)/134)+((0.39*49)/134)</v>
      </c>
      <c r="L9" s="7">
        <f>round(((F9*B6)/B5)+((H9*B7)/B5),2)</f>
        <v>0.57</v>
      </c>
    </row>
    <row r="10">
      <c r="D10" s="6" t="s">
        <v>15</v>
      </c>
      <c r="E10" s="7" t="str">
        <f>"("&amp;B1&amp;"/("&amp;B1&amp;"+"&amp;B2&amp;"))"</f>
        <v>(40/(40+45))</v>
      </c>
      <c r="F10" s="7">
        <f>round((B1/(B1+B2)),2)</f>
        <v>0.47</v>
      </c>
      <c r="G10" s="7" t="str">
        <f>"("&amp;B4&amp;"/("&amp;B4&amp;"+"&amp;B3&amp;"))"</f>
        <v>(29/(29+20))</v>
      </c>
      <c r="H10" s="7">
        <f>round((B4/(B4+B3)),2)</f>
        <v>0.59</v>
      </c>
      <c r="I10" s="7" t="str">
        <f t="shared" si="1"/>
        <v>(0.47+0.59)/2)</v>
      </c>
      <c r="J10" s="7">
        <f t="shared" si="2"/>
        <v>0.53</v>
      </c>
      <c r="K10" s="7" t="str">
        <f>"(("&amp;F10&amp;"*"&amp;B6&amp;")/"&amp;B5&amp;")+(("&amp;H10&amp;"*"&amp;B7&amp;")/"&amp;B5&amp;")"</f>
        <v>((0.47*85)/134)+((0.59*49)/134)</v>
      </c>
      <c r="L10" s="7">
        <f>round(((F10*B6)/B5)+((H10*B7)/B5),2)</f>
        <v>0.51</v>
      </c>
    </row>
    <row r="11">
      <c r="D11" s="6" t="s">
        <v>16</v>
      </c>
      <c r="E11" s="7" t="str">
        <f>"2*("&amp;F9&amp;"*"&amp;F10&amp;")/("&amp;F9&amp;"+"&amp;F10&amp;")"</f>
        <v>2*(0.67*0.47)/(0.67+0.47)</v>
      </c>
      <c r="F11" s="7">
        <f>round(2*(F9*F10)/(F9+F10),2)</f>
        <v>0.55</v>
      </c>
      <c r="G11" s="7" t="str">
        <f>"2*("&amp;H9&amp;"*"&amp;H10&amp;")/("&amp;H9&amp;"+"&amp;H10&amp;")"</f>
        <v>2*(0.39*0.59)/(0.39+0.59)</v>
      </c>
      <c r="H11" s="7">
        <f>round(2*(H9*H10)/(H9+H10),2)</f>
        <v>0.47</v>
      </c>
      <c r="I11" s="7" t="str">
        <f>"("&amp;F11&amp;"+"&amp;H11&amp;")/2"</f>
        <v>(0.55+0.47)/2</v>
      </c>
      <c r="J11" s="7">
        <f>round((F11+H11)/2,2)</f>
        <v>0.51</v>
      </c>
      <c r="K11" s="7" t="str">
        <f>"(("&amp;F11&amp;"*"&amp;B6&amp;")/"&amp;B5&amp;")+(("&amp;H11&amp;"*"&amp;B7&amp;")/"&amp;B5&amp;")"</f>
        <v>((0.55*85)/134)+((0.47*49)/134)</v>
      </c>
      <c r="L11" s="7">
        <f>round(((F11*B6)/B5)+((H11*B7)/B5),2)</f>
        <v>0.52</v>
      </c>
    </row>
    <row r="12">
      <c r="D12" s="8" t="s">
        <v>17</v>
      </c>
      <c r="E12" s="9" t="str">
        <f>"(("&amp;B1&amp;"+"&amp;B4&amp;")/("&amp;B1&amp;"+"&amp;B2&amp;"+"&amp;B3&amp;"+"&amp;B4&amp;"))"</f>
        <v>((40+29)/(40+45+20+29))</v>
      </c>
      <c r="F12" s="10"/>
      <c r="G12" s="10"/>
      <c r="H12" s="10"/>
      <c r="I12" s="10"/>
      <c r="J12" s="10"/>
      <c r="K12" s="11"/>
      <c r="L12" s="12">
        <f>round(((B1+B4)/(B1+B2+B3+B4)),2)</f>
        <v>0.51</v>
      </c>
    </row>
    <row r="18">
      <c r="M18" s="13"/>
    </row>
  </sheetData>
  <mergeCells count="1">
    <mergeCell ref="E12:K12"/>
  </mergeCells>
  <drawing r:id="rId1"/>
</worksheet>
</file>